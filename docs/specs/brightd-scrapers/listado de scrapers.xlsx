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omma Lab\OneDrive\Genomma\MicroDockerTests\brightdata-scrapers\docs\specs\brightd-scrapers\"/>
    </mc:Choice>
  </mc:AlternateContent>
  <xr:revisionPtr revIDLastSave="0" documentId="13_ncr:1_{BE818B8D-2969-4051-8773-96F10C48D06F}" xr6:coauthVersionLast="47" xr6:coauthVersionMax="47" xr10:uidLastSave="{00000000-0000-0000-0000-000000000000}"/>
  <bookViews>
    <workbookView xWindow="-108" yWindow="-108" windowWidth="23256" windowHeight="12456" xr2:uid="{7CB1BBF7-238F-41B5-9831-A0BD931B9AB4}"/>
  </bookViews>
  <sheets>
    <sheet name="scrapers" sheetId="3" r:id="rId1"/>
    <sheet name="gob" sheetId="4" r:id="rId2"/>
    <sheet name="Hoja1" sheetId="1" r:id="rId3"/>
    <sheet name="Hoja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2" l="1"/>
  <c r="I24" i="2"/>
  <c r="G37" i="1"/>
</calcChain>
</file>

<file path=xl/sharedStrings.xml><?xml version="1.0" encoding="utf-8"?>
<sst xmlns="http://schemas.openxmlformats.org/spreadsheetml/2006/main" count="161" uniqueCount="90">
  <si>
    <t>#</t>
  </si>
  <si>
    <t>API / Servicio</t>
  </si>
  <si>
    <t>Proveedor</t>
  </si>
  <si>
    <t>Categoría</t>
  </si>
  <si>
    <t>Función</t>
  </si>
  <si>
    <t>CUENTA</t>
  </si>
  <si>
    <t>CosmeticsDesign API / Scraping</t>
  </si>
  <si>
    <t>William Reed</t>
  </si>
  <si>
    <t>I+D</t>
  </si>
  <si>
    <t>Noticias de la industria cosmética</t>
  </si>
  <si>
    <t>https://www.nutraingredients.com/Health-conditions/Beauty-wellness/?utm_source=CD&amp;utm_medium=Websit…</t>
  </si>
  <si>
    <t>@cosme (scraping)</t>
  </si>
  <si>
    <t>istyle Inc.</t>
  </si>
  <si>
    <t>Tendencias de belleza Japón, rankings de productos</t>
  </si>
  <si>
    <t>https://www.cosme.net/</t>
  </si>
  <si>
    <t>Olive Young (scraping)</t>
  </si>
  <si>
    <t>CJ Group</t>
  </si>
  <si>
    <t>Tendencias K-beauty Korea, bestsellers</t>
  </si>
  <si>
    <t>https://www.google.com/aclk?sa=L&amp;pf=1&amp;ai=DChsSEwiVsai17uOTAxUqOUQIHTNLLG0YACICCAEQABoCZHo&amp;co=1&amp;ase=…</t>
  </si>
  <si>
    <t>Alibaba API / Scraping</t>
  </si>
  <si>
    <t>Alibaba Group</t>
  </si>
  <si>
    <t>Precios</t>
  </si>
  <si>
    <t>Precios globales de químicos industriales y empaque</t>
  </si>
  <si>
    <t>https://www.alibaba.com/trade/search?SearchText=industrial+chemicals&amp;has4Tab=true</t>
  </si>
  <si>
    <t>Made-in-China / Scraping</t>
  </si>
  <si>
    <t>Focus Technology</t>
  </si>
  <si>
    <t>Precios alternativos de materiales China</t>
  </si>
  <si>
    <t>https://www.made-in-china.com/</t>
  </si>
  <si>
    <t>IndiaMART / Scraping</t>
  </si>
  <si>
    <t>IndiaMART</t>
  </si>
  <si>
    <t>Precios de materiales India</t>
  </si>
  <si>
    <t>https://www.indiamart.com/</t>
  </si>
  <si>
    <t>Made-in-China</t>
  </si>
  <si>
    <t>scrapers</t>
  </si>
  <si>
    <t>Scrapers</t>
  </si>
  <si>
    <t>Conexión a Bright data</t>
  </si>
  <si>
    <t>Conexión con los Agentes  Públicos</t>
  </si>
  <si>
    <t>Bloque</t>
  </si>
  <si>
    <t>Peso</t>
  </si>
  <si>
    <t>Avance real</t>
  </si>
  <si>
    <t>Aporte al total</t>
  </si>
  <si>
    <t>Conexión a Bright Data</t>
  </si>
  <si>
    <t>Conexión con Agentes Públicos</t>
  </si>
  <si>
    <t>Total proyecto</t>
  </si>
  <si>
    <t>portaltramites.inpi.gob.ar</t>
  </si>
  <si>
    <t>registros por marcas</t>
  </si>
  <si>
    <t>INPI</t>
  </si>
  <si>
    <t>IdPais</t>
  </si>
  <si>
    <t>Pais</t>
  </si>
  <si>
    <t>Dependencia</t>
  </si>
  <si>
    <t>Validación marcas</t>
  </si>
  <si>
    <t>México</t>
  </si>
  <si>
    <t>IMPI – Instituto Mexicano de la Propiedad Industrial</t>
  </si>
  <si>
    <t>https://marcia.impi.gob.mx/marcas/search/quick</t>
  </si>
  <si>
    <t>Colombia</t>
  </si>
  <si>
    <t>SIC – Superintendencia de Industria y Comercio</t>
  </si>
  <si>
    <t>https://www.sic.gov.co/marcas</t>
  </si>
  <si>
    <t>Estados Unidos de América</t>
  </si>
  <si>
    <t>USPTO – United States Patent and Trademark Office</t>
  </si>
  <si>
    <t>https://www.uspto.gov/trademarks/search</t>
  </si>
  <si>
    <t>Argentina</t>
  </si>
  <si>
    <t>INPI – Instituto Nacional de la Propiedad Industrial</t>
  </si>
  <si>
    <t>https://portaltramites.inpi.gob.ar/marcasconsultas/busqueda</t>
  </si>
  <si>
    <t>Perú</t>
  </si>
  <si>
    <t>INDECOPI – Instituto Nacional de Defensa de la Competencia y Protección de la PI</t>
  </si>
  <si>
    <t>http://servicio.indecopi.gob.pe/buscadorResoluciones/propiedad-intelectual.seam</t>
  </si>
  <si>
    <t>Chile</t>
  </si>
  <si>
    <t>INAPI – Instituto Nacional de Propiedad Industrial</t>
  </si>
  <si>
    <t>INAPI - Consulta de Marca</t>
  </si>
  <si>
    <t>Costa Rica</t>
  </si>
  <si>
    <t>RNPJ – Registro Nacional, Propiedad Intelectual</t>
  </si>
  <si>
    <t>https://www.rnpdigital.com/</t>
  </si>
  <si>
    <t>El Salvador</t>
  </si>
  <si>
    <t>CNR – Centro Nacional de Registros</t>
  </si>
  <si>
    <t>https://www.cnr.gob.sv/</t>
  </si>
  <si>
    <t>Panamá</t>
  </si>
  <si>
    <t>DIGERPI – Dirección General del Registro de la Propiedad Industrial</t>
  </si>
  <si>
    <t>https://www.mici.gob.pa/digerpi</t>
  </si>
  <si>
    <t>República Dominicana</t>
  </si>
  <si>
    <t>ONAPI – Oficina Nacional de Propiedad Industrial</t>
  </si>
  <si>
    <t>https://www.onapi.gov.do/</t>
  </si>
  <si>
    <t>Brasil</t>
  </si>
  <si>
    <t>INPI – Instituto Nacional da Propriedade Industrial</t>
  </si>
  <si>
    <t>https://busca.inpi.gov.br/pePI/jsp/marcas/Pesquisa_num_processo.jsp</t>
  </si>
  <si>
    <t>Uruguay</t>
  </si>
  <si>
    <t>DNPI – Dirección Nacional de la Propiedad Industrial (MIEM)</t>
  </si>
  <si>
    <t>https://rad.miem.gub.uy/pamp/mark/index</t>
  </si>
  <si>
    <t>Paraguay</t>
  </si>
  <si>
    <t>DINAPI – Dirección Nacional de Propiedad Intelectual</t>
  </si>
  <si>
    <t>https://www.dinapi.gov.py/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</si>
</sst>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color rgb="FF242424"/>
      <name val="Segoe UI"/>
      <family val="2"/>
    </font>
    <font>
      <b/>
      <sz val="8"/>
      <color rgb="FF242424"/>
      <name val="Segoe U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2" borderId="1" xfId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9" fontId="5" fillId="0" borderId="1" xfId="0" applyNumberFormat="1" applyFont="1" applyBorder="1" applyAlignment="1">
      <alignment vertical="center"/>
    </xf>
    <xf numFmtId="10" fontId="5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9" fontId="4" fillId="0" borderId="1" xfId="0" applyNumberFormat="1" applyFont="1" applyBorder="1" applyAlignment="1">
      <alignment vertical="center"/>
    </xf>
    <xf numFmtId="10" fontId="4" fillId="0" borderId="1" xfId="0" applyNumberFormat="1" applyFont="1" applyBorder="1" applyAlignment="1">
      <alignment horizontal="right" vertical="center"/>
    </xf>
    <xf numFmtId="0" fontId="1" fillId="2" borderId="2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aclk?sa=L&amp;pf=1&amp;ai=DChsSEwiVsai17uOTAxUqOUQIHTNLLG0YACICCAEQABoCZHo&amp;co=1&amp;ase=2&amp;gclid=Cj0KCQjwv-LOBhCdARIsAM5hdKf_fOd3F896XiQSJFhtSzeuWW33q4zVhdo9bcaEgk78cNqrpLc2zygaAh3lEALw_wcB&amp;ei=nTrZaamyKoPLkPIPob71wA4&amp;cid=CAASugHkaPEP5nz5hZ6qqW74nn9f43mgJLt3FZyBcYbZtaQ6bdp82Azx7rJTK2il4Q6LvN7PHKO4UfVYM2hlGEYGdW1xzE3-M_2g0VKsFKD-spJS0v9rzaujevtJbEWGvCxAmOdDZ3NpfyCD0qcT7zZxphgN81Uu-6v29wSX-ZoM9FzM7gSNy8H7lHEWQErYBfWvCqjAGpjrRyF_oBlnwgLPcClygVGGw0JublYXpgxGsBAhHpPB8jHq6J-4mss&amp;cce=2&amp;category=acrcp_v1_32&amp;sig=AOD64_1ePFisChVVeGdKJdWCI_qwVwYBzA&amp;q&amp;sqi=2&amp;nis=4&amp;adurl=https://global.oliveyoung.com/if/rd?su%3D0XCNYKOD%26gad_source%3D1&amp;ved=2ahUKEwjp9KK17uOTAxWDJUQIHSFfHegQ0Qx6BAhCEAE" TargetMode="External"/><Relationship Id="rId2" Type="http://schemas.openxmlformats.org/officeDocument/2006/relationships/hyperlink" Target="https://www.cosme.net/" TargetMode="External"/><Relationship Id="rId1" Type="http://schemas.openxmlformats.org/officeDocument/2006/relationships/hyperlink" Target="https://www.nutraingredients.com/Health-conditions/Beauty-wellness/?utm_source=CD&amp;utm_medium=Website&amp;utm_campaign=Closure_LandingPage" TargetMode="External"/><Relationship Id="rId6" Type="http://schemas.openxmlformats.org/officeDocument/2006/relationships/hyperlink" Target="https://www.indiamart.com/" TargetMode="External"/><Relationship Id="rId5" Type="http://schemas.openxmlformats.org/officeDocument/2006/relationships/hyperlink" Target="https://www.made-in-china.com/" TargetMode="External"/><Relationship Id="rId4" Type="http://schemas.openxmlformats.org/officeDocument/2006/relationships/hyperlink" Target="https://www.alibaba.com/trade/search?SearchText=industrial+chemicals&amp;has4Tab=tru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nr.gob.sv/" TargetMode="External"/><Relationship Id="rId13" Type="http://schemas.openxmlformats.org/officeDocument/2006/relationships/hyperlink" Target="https://www.dinapi.gov.py/" TargetMode="External"/><Relationship Id="rId3" Type="http://schemas.openxmlformats.org/officeDocument/2006/relationships/hyperlink" Target="https://www.uspto.gov/trademarks/search" TargetMode="External"/><Relationship Id="rId7" Type="http://schemas.openxmlformats.org/officeDocument/2006/relationships/hyperlink" Target="https://www.rnpdigital.com/" TargetMode="External"/><Relationship Id="rId12" Type="http://schemas.openxmlformats.org/officeDocument/2006/relationships/hyperlink" Target="https://rad.miem.gub.uy/pamp/mark/index" TargetMode="External"/><Relationship Id="rId2" Type="http://schemas.openxmlformats.org/officeDocument/2006/relationships/hyperlink" Target="https://www.sic.gov.co/marcas" TargetMode="External"/><Relationship Id="rId1" Type="http://schemas.openxmlformats.org/officeDocument/2006/relationships/hyperlink" Target="https://marcia.impi.gob.mx/marcas/search/quick" TargetMode="External"/><Relationship Id="rId6" Type="http://schemas.openxmlformats.org/officeDocument/2006/relationships/hyperlink" Target="https://buscadormarcas.inapi.cl/Marca/BuscarMarca.aspx" TargetMode="External"/><Relationship Id="rId11" Type="http://schemas.openxmlformats.org/officeDocument/2006/relationships/hyperlink" Target="https://busca.inpi.gov.br/pePI/jsp/marcas/Pesquisa_num_processo.jsp" TargetMode="External"/><Relationship Id="rId5" Type="http://schemas.openxmlformats.org/officeDocument/2006/relationships/hyperlink" Target="http://servicio.indecopi.gob.pe/buscadorResoluciones/propiedad-intelectual.seam" TargetMode="External"/><Relationship Id="rId10" Type="http://schemas.openxmlformats.org/officeDocument/2006/relationships/hyperlink" Target="https://www.onapi.gov.do/" TargetMode="External"/><Relationship Id="rId4" Type="http://schemas.openxmlformats.org/officeDocument/2006/relationships/hyperlink" Target="https://portaltramites.inpi.gob.ar/marcasconsultas/busqueda" TargetMode="External"/><Relationship Id="rId9" Type="http://schemas.openxmlformats.org/officeDocument/2006/relationships/hyperlink" Target="https://www.mici.gob.pa/digerp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aclk?sa=L&amp;pf=1&amp;ai=DChsSEwiVsai17uOTAxUqOUQIHTNLLG0YACICCAEQABoCZHo&amp;co=1&amp;ase=2&amp;gclid=Cj0KCQjwv-LOBhCdARIsAM5hdKf_fOd3F896XiQSJFhtSzeuWW33q4zVhdo9bcaEgk78cNqrpLc2zygaAh3lEALw_wcB&amp;ei=nTrZaamyKoPLkPIPob71wA4&amp;cid=CAASugHkaPEP5nz5hZ6qqW74nn9f43mgJLt3FZyBcYbZtaQ6bdp82Azx7rJTK2il4Q6LvN7PHKO4UfVYM2hlGEYGdW1xzE3-M_2g0VKsFKD-spJS0v9rzaujevtJbEWGvCxAmOdDZ3NpfyCD0qcT7zZxphgN81Uu-6v29wSX-ZoM9FzM7gSNy8H7lHEWQErYBfWvCqjAGpjrRyF_oBlnwgLPcClygVGGw0JublYXpgxGsBAhHpPB8jHq6J-4mss&amp;cce=2&amp;category=acrcp_v1_32&amp;sig=AOD64_1ePFisChVVeGdKJdWCI_qwVwYBzA&amp;q&amp;sqi=2&amp;nis=4&amp;adurl=https://global.oliveyoung.com/if/rd?su%3D0XCNYKOD%26gad_source%3D1&amp;ved=2ahUKEwjp9KK17uOTAxWDJUQIHSFfHegQ0Qx6BAhCEAE" TargetMode="External"/><Relationship Id="rId2" Type="http://schemas.openxmlformats.org/officeDocument/2006/relationships/hyperlink" Target="https://www.cosme.net/" TargetMode="External"/><Relationship Id="rId1" Type="http://schemas.openxmlformats.org/officeDocument/2006/relationships/hyperlink" Target="https://www.nutraingredients.com/Health-conditions/Beauty-wellness/?utm_source=CD&amp;utm_medium=Website&amp;utm_campaign=Closure_LandingPage" TargetMode="External"/><Relationship Id="rId6" Type="http://schemas.openxmlformats.org/officeDocument/2006/relationships/hyperlink" Target="https://www.indiamart.com/" TargetMode="External"/><Relationship Id="rId5" Type="http://schemas.openxmlformats.org/officeDocument/2006/relationships/hyperlink" Target="https://www.made-in-china.com/" TargetMode="External"/><Relationship Id="rId4" Type="http://schemas.openxmlformats.org/officeDocument/2006/relationships/hyperlink" Target="https://www.alibaba.com/trade/search?SearchText=industrial+chemicals&amp;has4Tab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8BCE-2926-4EE8-9254-4685AB3BD92A}">
  <dimension ref="A1:F8"/>
  <sheetViews>
    <sheetView tabSelected="1" workbookViewId="0">
      <selection activeCell="E4" sqref="E4"/>
    </sheetView>
  </sheetViews>
  <sheetFormatPr baseColWidth="10" defaultRowHeight="14.4" x14ac:dyDescent="0.3"/>
  <cols>
    <col min="1" max="1" width="2.5546875" bestFit="1" customWidth="1"/>
    <col min="2" max="2" width="21.5546875" bestFit="1" customWidth="1"/>
    <col min="3" max="3" width="12.33203125" bestFit="1" customWidth="1"/>
    <col min="4" max="4" width="7.6640625" bestFit="1" customWidth="1"/>
    <col min="5" max="5" width="35.6640625" bestFit="1" customWidth="1"/>
    <col min="6" max="6" width="103.44140625" bestFit="1" customWidth="1"/>
  </cols>
  <sheetData>
    <row r="1" spans="1:6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>
        <v>48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spans="1:6" x14ac:dyDescent="0.3">
      <c r="A3" s="5">
        <v>49</v>
      </c>
      <c r="B3" s="2" t="s">
        <v>11</v>
      </c>
      <c r="C3" s="2" t="s">
        <v>12</v>
      </c>
      <c r="D3" s="2" t="s">
        <v>8</v>
      </c>
      <c r="E3" s="2" t="s">
        <v>13</v>
      </c>
      <c r="F3" s="3" t="s">
        <v>14</v>
      </c>
    </row>
    <row r="4" spans="1:6" x14ac:dyDescent="0.3">
      <c r="A4" s="5">
        <v>50</v>
      </c>
      <c r="B4" s="2" t="s">
        <v>15</v>
      </c>
      <c r="C4" s="2" t="s">
        <v>16</v>
      </c>
      <c r="D4" s="2" t="s">
        <v>8</v>
      </c>
      <c r="E4" s="2" t="s">
        <v>17</v>
      </c>
      <c r="F4" s="3" t="s">
        <v>18</v>
      </c>
    </row>
    <row r="5" spans="1:6" x14ac:dyDescent="0.3">
      <c r="A5" s="5">
        <v>61</v>
      </c>
      <c r="B5" s="2" t="s">
        <v>19</v>
      </c>
      <c r="C5" s="2" t="s">
        <v>20</v>
      </c>
      <c r="D5" s="2" t="s">
        <v>21</v>
      </c>
      <c r="E5" s="2" t="s">
        <v>22</v>
      </c>
      <c r="F5" s="3" t="s">
        <v>23</v>
      </c>
    </row>
    <row r="6" spans="1:6" x14ac:dyDescent="0.3">
      <c r="A6" s="5">
        <v>62</v>
      </c>
      <c r="B6" s="2" t="s">
        <v>24</v>
      </c>
      <c r="C6" s="2" t="s">
        <v>25</v>
      </c>
      <c r="D6" s="2" t="s">
        <v>21</v>
      </c>
      <c r="E6" s="2" t="s">
        <v>26</v>
      </c>
      <c r="F6" s="3" t="s">
        <v>27</v>
      </c>
    </row>
    <row r="7" spans="1:6" x14ac:dyDescent="0.3">
      <c r="A7" s="5">
        <v>63</v>
      </c>
      <c r="B7" s="2" t="s">
        <v>28</v>
      </c>
      <c r="C7" s="2" t="s">
        <v>29</v>
      </c>
      <c r="D7" s="2" t="s">
        <v>21</v>
      </c>
      <c r="E7" s="2" t="s">
        <v>30</v>
      </c>
      <c r="F7" s="3" t="s">
        <v>31</v>
      </c>
    </row>
    <row r="8" spans="1:6" x14ac:dyDescent="0.3">
      <c r="B8" s="14" t="s">
        <v>46</v>
      </c>
      <c r="C8" s="14" t="s">
        <v>46</v>
      </c>
      <c r="E8" s="14" t="s">
        <v>45</v>
      </c>
      <c r="F8" t="s">
        <v>44</v>
      </c>
    </row>
  </sheetData>
  <hyperlinks>
    <hyperlink ref="F2" r:id="rId1" display="https://www.nutraingredients.com/Health-conditions/Beauty-wellness/?utm_source=CD&amp;utm_medium=Website&amp;utm_campaign=Closure_LandingPage" xr:uid="{5E458441-8A1B-482E-8512-7D7102B7BD38}"/>
    <hyperlink ref="F3" r:id="rId2" xr:uid="{E5EDEE44-1150-471A-BCB7-3EA68184540D}"/>
    <hyperlink ref="F4" r:id="rId3" display="https://www.google.com/aclk?sa=L&amp;pf=1&amp;ai=DChsSEwiVsai17uOTAxUqOUQIHTNLLG0YACICCAEQABoCZHo&amp;co=1&amp;ase=2&amp;gclid=Cj0KCQjwv-LOBhCdARIsAM5hdKf_fOd3F896XiQSJFhtSzeuWW33q4zVhdo9bcaEgk78cNqrpLc2zygaAh3lEALw_wcB&amp;ei=nTrZaamyKoPLkPIPob71wA4&amp;cid=CAASugHkaPEP5nz5hZ6qqW74nn9f43mgJLt3FZyBcYbZtaQ6bdp82Azx7rJTK2il4Q6LvN7PHKO4UfVYM2hlGEYGdW1xzE3-M_2g0VKsFKD-spJS0v9rzaujevtJbEWGvCxAmOdDZ3NpfyCD0qcT7zZxphgN81Uu-6v29wSX-ZoM9FzM7gSNy8H7lHEWQErYBfWvCqjAGpjrRyF_oBlnwgLPcClygVGGw0JublYXpgxGsBAhHpPB8jHq6J-4mss&amp;cce=2&amp;category=acrcp_v1_32&amp;sig=AOD64_1ePFisChVVeGdKJdWCI_qwVwYBzA&amp;q&amp;sqi=2&amp;nis=4&amp;adurl=https://global.oliveyoung.com/if/rd?su%3D0XCNYKOD%26gad_source%3D1&amp;ved=2ahUKEwjp9KK17uOTAxWDJUQIHSFfHegQ0Qx6BAhCEAE" xr:uid="{B3DCAD54-70AF-43F3-881D-1D7F43A1159C}"/>
    <hyperlink ref="F5" r:id="rId4" xr:uid="{9AEB1CDB-680D-409A-AA58-C903A7BEE136}"/>
    <hyperlink ref="F6" r:id="rId5" xr:uid="{DB750B28-DD45-429F-B5C8-E6B29F6B7C47}"/>
    <hyperlink ref="F7" r:id="rId6" xr:uid="{E7918F29-A34B-40FA-9BBD-BC79FED256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3C47-BADD-408A-95EA-3E66E8AC9519}">
  <dimension ref="A1:D14"/>
  <sheetViews>
    <sheetView workbookViewId="0">
      <selection activeCell="C23" sqref="C23"/>
    </sheetView>
  </sheetViews>
  <sheetFormatPr baseColWidth="10" defaultRowHeight="14.4" x14ac:dyDescent="0.3"/>
  <cols>
    <col min="1" max="1" width="6.21875" bestFit="1" customWidth="1"/>
    <col min="2" max="2" width="23.33203125" bestFit="1" customWidth="1"/>
    <col min="3" max="3" width="68.44140625" bestFit="1" customWidth="1"/>
    <col min="4" max="4" width="69.88671875" bestFit="1" customWidth="1"/>
  </cols>
  <sheetData>
    <row r="1" spans="1:4" x14ac:dyDescent="0.3">
      <c r="A1" s="15" t="s">
        <v>47</v>
      </c>
      <c r="B1" s="15" t="s">
        <v>48</v>
      </c>
      <c r="C1" s="15" t="s">
        <v>49</v>
      </c>
      <c r="D1" s="15" t="s">
        <v>50</v>
      </c>
    </row>
    <row r="2" spans="1:4" x14ac:dyDescent="0.3">
      <c r="A2" s="16">
        <v>1</v>
      </c>
      <c r="B2" s="16" t="s">
        <v>51</v>
      </c>
      <c r="C2" s="16" t="s">
        <v>52</v>
      </c>
      <c r="D2" s="17" t="s">
        <v>53</v>
      </c>
    </row>
    <row r="3" spans="1:4" x14ac:dyDescent="0.3">
      <c r="A3" s="16">
        <v>6</v>
      </c>
      <c r="B3" s="16" t="s">
        <v>54</v>
      </c>
      <c r="C3" s="16" t="s">
        <v>55</v>
      </c>
      <c r="D3" s="17" t="s">
        <v>56</v>
      </c>
    </row>
    <row r="4" spans="1:4" x14ac:dyDescent="0.3">
      <c r="A4" s="16">
        <v>8</v>
      </c>
      <c r="B4" s="16" t="s">
        <v>57</v>
      </c>
      <c r="C4" s="16" t="s">
        <v>58</v>
      </c>
      <c r="D4" s="17" t="s">
        <v>59</v>
      </c>
    </row>
    <row r="5" spans="1:4" x14ac:dyDescent="0.3">
      <c r="A5" s="16">
        <v>9</v>
      </c>
      <c r="B5" s="16" t="s">
        <v>60</v>
      </c>
      <c r="C5" s="16" t="s">
        <v>61</v>
      </c>
      <c r="D5" s="17" t="s">
        <v>62</v>
      </c>
    </row>
    <row r="6" spans="1:4" x14ac:dyDescent="0.3">
      <c r="A6" s="16">
        <v>10</v>
      </c>
      <c r="B6" s="16" t="s">
        <v>63</v>
      </c>
      <c r="C6" s="16" t="s">
        <v>64</v>
      </c>
      <c r="D6" s="17" t="s">
        <v>65</v>
      </c>
    </row>
    <row r="7" spans="1:4" x14ac:dyDescent="0.3">
      <c r="A7" s="16">
        <v>13</v>
      </c>
      <c r="B7" s="16" t="s">
        <v>66</v>
      </c>
      <c r="C7" s="16" t="s">
        <v>67</v>
      </c>
      <c r="D7" s="17" t="s">
        <v>68</v>
      </c>
    </row>
    <row r="8" spans="1:4" x14ac:dyDescent="0.3">
      <c r="A8" s="16">
        <v>14</v>
      </c>
      <c r="B8" s="16" t="s">
        <v>69</v>
      </c>
      <c r="C8" s="16" t="s">
        <v>70</v>
      </c>
      <c r="D8" s="17" t="s">
        <v>71</v>
      </c>
    </row>
    <row r="9" spans="1:4" x14ac:dyDescent="0.3">
      <c r="A9" s="16">
        <v>15</v>
      </c>
      <c r="B9" s="16" t="s">
        <v>72</v>
      </c>
      <c r="C9" s="16" t="s">
        <v>73</v>
      </c>
      <c r="D9" s="17" t="s">
        <v>74</v>
      </c>
    </row>
    <row r="10" spans="1:4" x14ac:dyDescent="0.3">
      <c r="A10" s="16">
        <v>16</v>
      </c>
      <c r="B10" s="16" t="s">
        <v>75</v>
      </c>
      <c r="C10" s="16" t="s">
        <v>76</v>
      </c>
      <c r="D10" s="17" t="s">
        <v>77</v>
      </c>
    </row>
    <row r="11" spans="1:4" x14ac:dyDescent="0.3">
      <c r="A11" s="16">
        <v>21</v>
      </c>
      <c r="B11" s="16" t="s">
        <v>78</v>
      </c>
      <c r="C11" s="16" t="s">
        <v>79</v>
      </c>
      <c r="D11" s="17" t="s">
        <v>80</v>
      </c>
    </row>
    <row r="12" spans="1:4" x14ac:dyDescent="0.3">
      <c r="A12" s="16">
        <v>22</v>
      </c>
      <c r="B12" s="16" t="s">
        <v>81</v>
      </c>
      <c r="C12" s="16" t="s">
        <v>82</v>
      </c>
      <c r="D12" s="17" t="s">
        <v>83</v>
      </c>
    </row>
    <row r="13" spans="1:4" x14ac:dyDescent="0.3">
      <c r="A13" s="16">
        <v>23</v>
      </c>
      <c r="B13" s="16" t="s">
        <v>84</v>
      </c>
      <c r="C13" s="16" t="s">
        <v>85</v>
      </c>
      <c r="D13" s="17" t="s">
        <v>86</v>
      </c>
    </row>
    <row r="14" spans="1:4" x14ac:dyDescent="0.3">
      <c r="A14" s="16">
        <v>24</v>
      </c>
      <c r="B14" s="16" t="s">
        <v>87</v>
      </c>
      <c r="C14" s="16" t="s">
        <v>88</v>
      </c>
      <c r="D14" s="17" t="s">
        <v>89</v>
      </c>
    </row>
  </sheetData>
  <hyperlinks>
    <hyperlink ref="D2" r:id="rId1" xr:uid="{17ED3423-1A9B-4292-B719-B130EF359577}"/>
    <hyperlink ref="D3" r:id="rId2" tooltip="https://www.sic.gov.co/marcas" xr:uid="{B75BAC3F-E308-40B1-94A5-9892E888CEB8}"/>
    <hyperlink ref="D4" r:id="rId3" tooltip="https://www.uspto.gov/trademarks/search" xr:uid="{A475F351-19FF-4F91-82D4-C7BAC65549D5}"/>
    <hyperlink ref="D5" r:id="rId4" tooltip="https://portaltramites.inpi.gob.ar/marcasconsultas/busqueda" xr:uid="{D46CA269-07FA-497D-BADD-28C0CFF1E8A2}"/>
    <hyperlink ref="D6" r:id="rId5" tooltip="http://servicio.indecopi.gob.pe/buscadorresoluciones/propiedad-intelectual.seam" xr:uid="{57AC654F-6711-45FC-9820-89B19843473D}"/>
    <hyperlink ref="D7" r:id="rId6" tooltip="https://buscadormarcas.inapi.cl/marca/buscarmarca.aspx" display="https://buscadormarcas.inapi.cl/Marca/BuscarMarca.aspx" xr:uid="{59EDB5A5-D7FC-452C-B14E-3EC378D8635D}"/>
    <hyperlink ref="D8" r:id="rId7" tooltip="https://www.rnpdigital.com/" xr:uid="{6FB8DE11-9DAE-477B-BE5F-8D9E5C1182F4}"/>
    <hyperlink ref="D9" r:id="rId8" tooltip="https://www.cnr.gob.sv/" xr:uid="{2F2910E7-5A64-4360-9CAD-F179F7C7BF38}"/>
    <hyperlink ref="D10" r:id="rId9" tooltip="https://www.mici.gob.pa/digerpi" xr:uid="{9E86DA91-5762-4DCC-BB04-8C8A4B9C4D3E}"/>
    <hyperlink ref="D11" r:id="rId10" tooltip="https://www.onapi.gov.do/" xr:uid="{83A0E020-152C-4AF0-8BBA-1F9F6C157098}"/>
    <hyperlink ref="D12" r:id="rId11" tooltip="https://busca.inpi.gov.br/pepi/jsp/marcas/pesquisa_num_processo.jsp" xr:uid="{09A64C97-D117-4BF3-B914-5DF3D7D41E69}"/>
    <hyperlink ref="D13" r:id="rId12" tooltip="https://rad.miem.gub.uy/pamp/mark/index" xr:uid="{2D007F2C-1D59-424D-874D-60A46304308A}"/>
    <hyperlink ref="D14" r:id="rId13" tooltip="https://www.dinapi.gov.py/" xr:uid="{26C2C393-6850-4F6E-9E5F-F37CB5B6289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03E4-B513-4A27-AB79-2D4C283C8A6C}">
  <dimension ref="E4:K37"/>
  <sheetViews>
    <sheetView workbookViewId="0">
      <selection activeCell="E13" sqref="E13:J19"/>
    </sheetView>
  </sheetViews>
  <sheetFormatPr baseColWidth="10" defaultRowHeight="14.4" x14ac:dyDescent="0.3"/>
  <cols>
    <col min="5" max="5" width="4.88671875" customWidth="1"/>
    <col min="6" max="6" width="29.88671875" bestFit="1" customWidth="1"/>
    <col min="7" max="7" width="12.33203125" bestFit="1" customWidth="1"/>
    <col min="8" max="8" width="7.6640625" bestFit="1" customWidth="1"/>
    <col min="9" max="9" width="35.6640625" bestFit="1" customWidth="1"/>
    <col min="10" max="10" width="144.44140625" customWidth="1"/>
    <col min="11" max="11" width="12" bestFit="1" customWidth="1"/>
  </cols>
  <sheetData>
    <row r="4" spans="5:11" x14ac:dyDescent="0.3">
      <c r="F4" s="1" t="s">
        <v>1</v>
      </c>
      <c r="G4" s="1" t="s">
        <v>2</v>
      </c>
      <c r="H4" s="1" t="s">
        <v>3</v>
      </c>
      <c r="I4" s="1" t="s">
        <v>4</v>
      </c>
    </row>
    <row r="5" spans="5:11" x14ac:dyDescent="0.3">
      <c r="F5" s="2" t="s">
        <v>32</v>
      </c>
      <c r="G5" s="2" t="s">
        <v>25</v>
      </c>
      <c r="H5" s="2" t="s">
        <v>21</v>
      </c>
      <c r="I5" s="2" t="s">
        <v>26</v>
      </c>
    </row>
    <row r="6" spans="5:11" x14ac:dyDescent="0.3">
      <c r="F6" s="2" t="s">
        <v>29</v>
      </c>
      <c r="G6" s="2" t="s">
        <v>29</v>
      </c>
      <c r="H6" s="2" t="s">
        <v>21</v>
      </c>
      <c r="I6" s="2" t="s">
        <v>30</v>
      </c>
    </row>
    <row r="7" spans="5:11" x14ac:dyDescent="0.3">
      <c r="F7" s="2" t="s">
        <v>11</v>
      </c>
      <c r="G7" s="2" t="s">
        <v>12</v>
      </c>
      <c r="H7" s="2" t="s">
        <v>8</v>
      </c>
      <c r="I7" s="2" t="s">
        <v>13</v>
      </c>
    </row>
    <row r="8" spans="5:11" x14ac:dyDescent="0.3">
      <c r="F8" s="2" t="s">
        <v>15</v>
      </c>
      <c r="G8" s="2" t="s">
        <v>16</v>
      </c>
      <c r="H8" s="2" t="s">
        <v>8</v>
      </c>
      <c r="I8" s="2" t="s">
        <v>17</v>
      </c>
    </row>
    <row r="9" spans="5:11" x14ac:dyDescent="0.3">
      <c r="F9" s="2" t="s">
        <v>19</v>
      </c>
      <c r="G9" s="2" t="s">
        <v>20</v>
      </c>
      <c r="H9" s="2" t="s">
        <v>21</v>
      </c>
      <c r="I9" s="2" t="s">
        <v>22</v>
      </c>
    </row>
    <row r="13" spans="5:11" x14ac:dyDescent="0.3">
      <c r="E13" s="4" t="s">
        <v>0</v>
      </c>
      <c r="F13" s="1" t="s">
        <v>1</v>
      </c>
      <c r="G13" s="1" t="s">
        <v>2</v>
      </c>
      <c r="H13" s="1" t="s">
        <v>3</v>
      </c>
      <c r="I13" s="1" t="s">
        <v>4</v>
      </c>
      <c r="J13" s="1" t="s">
        <v>5</v>
      </c>
      <c r="K13" s="6" t="s">
        <v>33</v>
      </c>
    </row>
    <row r="14" spans="5:11" x14ac:dyDescent="0.3">
      <c r="E14" s="5">
        <v>48</v>
      </c>
      <c r="F14" s="2" t="s">
        <v>6</v>
      </c>
      <c r="G14" s="2" t="s">
        <v>7</v>
      </c>
      <c r="H14" s="2" t="s">
        <v>8</v>
      </c>
      <c r="I14" s="2" t="s">
        <v>9</v>
      </c>
      <c r="J14" s="3" t="s">
        <v>10</v>
      </c>
    </row>
    <row r="15" spans="5:11" x14ac:dyDescent="0.3">
      <c r="E15" s="5">
        <v>49</v>
      </c>
      <c r="F15" s="2" t="s">
        <v>11</v>
      </c>
      <c r="G15" s="2" t="s">
        <v>12</v>
      </c>
      <c r="H15" s="2" t="s">
        <v>8</v>
      </c>
      <c r="I15" s="2" t="s">
        <v>13</v>
      </c>
      <c r="J15" s="3" t="s">
        <v>14</v>
      </c>
    </row>
    <row r="16" spans="5:11" x14ac:dyDescent="0.3">
      <c r="E16" s="5">
        <v>50</v>
      </c>
      <c r="F16" s="2" t="s">
        <v>15</v>
      </c>
      <c r="G16" s="2" t="s">
        <v>16</v>
      </c>
      <c r="H16" s="2" t="s">
        <v>8</v>
      </c>
      <c r="I16" s="2" t="s">
        <v>17</v>
      </c>
      <c r="J16" s="3" t="s">
        <v>18</v>
      </c>
    </row>
    <row r="17" spans="5:10" x14ac:dyDescent="0.3">
      <c r="E17" s="5">
        <v>61</v>
      </c>
      <c r="F17" s="2" t="s">
        <v>19</v>
      </c>
      <c r="G17" s="2" t="s">
        <v>20</v>
      </c>
      <c r="H17" s="2" t="s">
        <v>21</v>
      </c>
      <c r="I17" s="2" t="s">
        <v>22</v>
      </c>
      <c r="J17" s="3" t="s">
        <v>23</v>
      </c>
    </row>
    <row r="18" spans="5:10" x14ac:dyDescent="0.3">
      <c r="E18" s="5">
        <v>62</v>
      </c>
      <c r="F18" s="2" t="s">
        <v>24</v>
      </c>
      <c r="G18" s="2" t="s">
        <v>25</v>
      </c>
      <c r="H18" s="2" t="s">
        <v>21</v>
      </c>
      <c r="I18" s="2" t="s">
        <v>26</v>
      </c>
      <c r="J18" s="3" t="s">
        <v>27</v>
      </c>
    </row>
    <row r="19" spans="5:10" x14ac:dyDescent="0.3">
      <c r="E19" s="5">
        <v>63</v>
      </c>
      <c r="F19" s="2" t="s">
        <v>28</v>
      </c>
      <c r="G19" s="2" t="s">
        <v>29</v>
      </c>
      <c r="H19" s="2" t="s">
        <v>21</v>
      </c>
      <c r="I19" s="2" t="s">
        <v>30</v>
      </c>
      <c r="J19" s="3" t="s">
        <v>31</v>
      </c>
    </row>
    <row r="28" spans="5:10" x14ac:dyDescent="0.3">
      <c r="F28" s="2" t="s">
        <v>6</v>
      </c>
    </row>
    <row r="29" spans="5:10" x14ac:dyDescent="0.3">
      <c r="F29" s="2" t="s">
        <v>11</v>
      </c>
    </row>
    <row r="30" spans="5:10" x14ac:dyDescent="0.3">
      <c r="F30" s="2" t="s">
        <v>15</v>
      </c>
    </row>
    <row r="31" spans="5:10" x14ac:dyDescent="0.3">
      <c r="F31" s="2" t="s">
        <v>19</v>
      </c>
    </row>
    <row r="32" spans="5:10" x14ac:dyDescent="0.3">
      <c r="F32" s="2" t="s">
        <v>24</v>
      </c>
    </row>
    <row r="33" spans="6:7" x14ac:dyDescent="0.3">
      <c r="F33" s="2" t="s">
        <v>28</v>
      </c>
    </row>
    <row r="35" spans="6:7" x14ac:dyDescent="0.3">
      <c r="F35" t="s">
        <v>34</v>
      </c>
      <c r="G35">
        <v>45</v>
      </c>
    </row>
    <row r="36" spans="6:7" x14ac:dyDescent="0.3">
      <c r="F36" t="s">
        <v>35</v>
      </c>
      <c r="G36">
        <v>40</v>
      </c>
    </row>
    <row r="37" spans="6:7" x14ac:dyDescent="0.3">
      <c r="F37" t="s">
        <v>36</v>
      </c>
      <c r="G37">
        <f>100-G35-G36</f>
        <v>15</v>
      </c>
    </row>
  </sheetData>
  <hyperlinks>
    <hyperlink ref="J14" r:id="rId1" display="https://www.nutraingredients.com/Health-conditions/Beauty-wellness/?utm_source=CD&amp;utm_medium=Website&amp;utm_campaign=Closure_LandingPage" xr:uid="{569557E8-23B0-499E-AF0E-CD1F64FC4627}"/>
    <hyperlink ref="J15" r:id="rId2" xr:uid="{3C964410-9420-43F9-8967-07FBA05A433E}"/>
    <hyperlink ref="J16" r:id="rId3" display="https://www.google.com/aclk?sa=L&amp;pf=1&amp;ai=DChsSEwiVsai17uOTAxUqOUQIHTNLLG0YACICCAEQABoCZHo&amp;co=1&amp;ase=2&amp;gclid=Cj0KCQjwv-LOBhCdARIsAM5hdKf_fOd3F896XiQSJFhtSzeuWW33q4zVhdo9bcaEgk78cNqrpLc2zygaAh3lEALw_wcB&amp;ei=nTrZaamyKoPLkPIPob71wA4&amp;cid=CAASugHkaPEP5nz5hZ6qqW74nn9f43mgJLt3FZyBcYbZtaQ6bdp82Azx7rJTK2il4Q6LvN7PHKO4UfVYM2hlGEYGdW1xzE3-M_2g0VKsFKD-spJS0v9rzaujevtJbEWGvCxAmOdDZ3NpfyCD0qcT7zZxphgN81Uu-6v29wSX-ZoM9FzM7gSNy8H7lHEWQErYBfWvCqjAGpjrRyF_oBlnwgLPcClygVGGw0JublYXpgxGsBAhHpPB8jHq6J-4mss&amp;cce=2&amp;category=acrcp_v1_32&amp;sig=AOD64_1ePFisChVVeGdKJdWCI_qwVwYBzA&amp;q&amp;sqi=2&amp;nis=4&amp;adurl=https://global.oliveyoung.com/if/rd?su%3D0XCNYKOD%26gad_source%3D1&amp;ved=2ahUKEwjp9KK17uOTAxWDJUQIHSFfHegQ0Qx6BAhCEAE" xr:uid="{FEF8EBC1-F479-42E6-A2DD-EEE02C6F35F4}"/>
    <hyperlink ref="J17" r:id="rId4" xr:uid="{A2CE1B3E-DAEA-4062-BABA-8419B7746EF6}"/>
    <hyperlink ref="J18" r:id="rId5" xr:uid="{114E2EB3-9DB7-43F0-B5C3-3675C13CBD23}"/>
    <hyperlink ref="J19" r:id="rId6" xr:uid="{4F48A613-227F-4D20-84AC-2EF4801ECAC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AC8B-8B28-4202-87A2-A973BD8AB16D}">
  <dimension ref="G20:J24"/>
  <sheetViews>
    <sheetView workbookViewId="0">
      <selection activeCell="G21" sqref="G21"/>
    </sheetView>
  </sheetViews>
  <sheetFormatPr baseColWidth="10" defaultRowHeight="14.4" x14ac:dyDescent="0.3"/>
  <cols>
    <col min="7" max="7" width="29.33203125" bestFit="1" customWidth="1"/>
    <col min="8" max="8" width="6.21875" bestFit="1" customWidth="1"/>
    <col min="9" max="9" width="12.5546875" bestFit="1" customWidth="1"/>
    <col min="10" max="10" width="14.5546875" bestFit="1" customWidth="1"/>
  </cols>
  <sheetData>
    <row r="20" spans="7:10" x14ac:dyDescent="0.3">
      <c r="G20" s="7" t="s">
        <v>37</v>
      </c>
      <c r="H20" s="7" t="s">
        <v>38</v>
      </c>
      <c r="I20" s="7" t="s">
        <v>39</v>
      </c>
      <c r="J20" s="7" t="s">
        <v>40</v>
      </c>
    </row>
    <row r="21" spans="7:10" x14ac:dyDescent="0.3">
      <c r="G21" s="8" t="s">
        <v>34</v>
      </c>
      <c r="H21" s="9">
        <v>0.45</v>
      </c>
      <c r="I21" s="9">
        <v>0.25</v>
      </c>
      <c r="J21" s="10">
        <v>0.1125</v>
      </c>
    </row>
    <row r="22" spans="7:10" x14ac:dyDescent="0.3">
      <c r="G22" s="8" t="s">
        <v>41</v>
      </c>
      <c r="H22" s="9">
        <v>0.4</v>
      </c>
      <c r="I22" s="9">
        <v>0.95</v>
      </c>
      <c r="J22" s="9">
        <v>0.38</v>
      </c>
    </row>
    <row r="23" spans="7:10" x14ac:dyDescent="0.3">
      <c r="G23" s="8" t="s">
        <v>42</v>
      </c>
      <c r="H23" s="9">
        <v>0.15</v>
      </c>
      <c r="I23" s="9">
        <v>0.15</v>
      </c>
      <c r="J23" s="10">
        <v>2.2499999999999999E-2</v>
      </c>
    </row>
    <row r="24" spans="7:10" x14ac:dyDescent="0.3">
      <c r="G24" s="11" t="s">
        <v>43</v>
      </c>
      <c r="H24" s="12">
        <v>1</v>
      </c>
      <c r="I24" s="9">
        <f>H24-J24</f>
        <v>0.48499999999999999</v>
      </c>
      <c r="J24" s="13">
        <f>SUM(J21:J23)</f>
        <v>0.51500000000000001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scrapers</vt:lpstr>
      <vt:lpstr>gob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González Almarales</dc:creator>
  <cp:lastModifiedBy>Ramiro González Almarales</cp:lastModifiedBy>
  <dcterms:created xsi:type="dcterms:W3CDTF">2026-04-20T21:39:06Z</dcterms:created>
  <dcterms:modified xsi:type="dcterms:W3CDTF">2026-04-29T03:19:48Z</dcterms:modified>
</cp:coreProperties>
</file>